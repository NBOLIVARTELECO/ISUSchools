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2025\"/>
    </mc:Choice>
  </mc:AlternateContent>
  <xr:revisionPtr revIDLastSave="0" documentId="8_{68C4B330-7F76-4629-8FC6-A5671E89FA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" sheetId="1" r:id="rId1"/>
  </sheets>
  <definedNames>
    <definedName name="_xlnm.Print_Area" localSheetId="0">FORMATO!$A$1:$N$54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L35" i="1" s="1"/>
  <c r="J36" i="1"/>
  <c r="J34" i="1"/>
  <c r="L34" i="1" s="1"/>
  <c r="J31" i="1"/>
  <c r="L31" i="1" s="1"/>
  <c r="J32" i="1"/>
  <c r="L32" i="1" s="1"/>
  <c r="J30" i="1"/>
  <c r="L30" i="1" s="1"/>
  <c r="J26" i="1"/>
  <c r="L26" i="1" s="1"/>
  <c r="J27" i="1"/>
  <c r="L27" i="1" s="1"/>
  <c r="J25" i="1"/>
  <c r="J21" i="1"/>
  <c r="L21" i="1" s="1"/>
  <c r="J22" i="1"/>
  <c r="L22" i="1" s="1"/>
  <c r="J20" i="1"/>
  <c r="H33" i="1"/>
  <c r="J16" i="1"/>
  <c r="L16" i="1" s="1"/>
  <c r="J17" i="1"/>
  <c r="L17" i="1" s="1"/>
  <c r="J15" i="1"/>
  <c r="L15" i="1" s="1"/>
  <c r="G39" i="1"/>
  <c r="L36" i="1"/>
  <c r="K33" i="1"/>
  <c r="I33" i="1"/>
  <c r="K29" i="1"/>
  <c r="I29" i="1"/>
  <c r="K24" i="1"/>
  <c r="I24" i="1"/>
  <c r="K19" i="1"/>
  <c r="I19" i="1"/>
  <c r="H19" i="1"/>
  <c r="I14" i="1"/>
  <c r="H14" i="1"/>
  <c r="I39" i="1" l="1"/>
  <c r="J24" i="1"/>
  <c r="M24" i="1" s="1"/>
  <c r="L29" i="1"/>
  <c r="L25" i="1"/>
  <c r="L24" i="1" s="1"/>
  <c r="J19" i="1"/>
  <c r="L20" i="1"/>
  <c r="L19" i="1" s="1"/>
  <c r="J14" i="1"/>
  <c r="M14" i="1" l="1"/>
  <c r="K14" i="1"/>
  <c r="K39" i="1" s="1"/>
  <c r="L14" i="1"/>
  <c r="H24" i="1"/>
  <c r="J29" i="1"/>
  <c r="H29" i="1"/>
  <c r="H39" i="1" l="1"/>
  <c r="M29" i="1"/>
  <c r="J33" i="1"/>
  <c r="M33" i="1" s="1"/>
  <c r="L33" i="1"/>
  <c r="L39" i="1" s="1"/>
  <c r="J39" i="1" l="1"/>
  <c r="H43" i="1"/>
  <c r="M19" i="1" l="1"/>
  <c r="M39" i="1" s="1"/>
  <c r="H41" i="1"/>
  <c r="H42" i="1" l="1"/>
  <c r="H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YULY ELIZABETH PRIETO GONZALEZ</author>
    <author>HARVEY ALEXANDER SANCHEZ CASTRO</author>
  </authors>
  <commentList>
    <comment ref="H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Valor antes de IVA</t>
        </r>
      </text>
    </comment>
    <comment ref="J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Total Factura de Venta o Cuenta de Cobro (suma de subtotal e IVA)</t>
        </r>
      </text>
    </comment>
    <comment ref="K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Diligencie el valor total de los descuentos aplicados (AFIr104) a la Cuenta de Cobro o Factura de Venta, siempre que supere $737,717 pesos (1 SMMLV).</t>
        </r>
      </text>
    </comment>
    <comment ref="L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Valor efectivamente pagado al proveedor o prestador de servicio (Total Cuenta de Cobro o Factura de Venta menos Descuentos aplicados (AFIr104))</t>
        </r>
      </text>
    </comment>
    <comment ref="M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Corresponde al valor disponible, Presupuesto Menos Total facturas o cuentas de cobro</t>
        </r>
      </text>
    </comment>
    <comment ref="B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Diligencie el código del Rubro Presupuestal y su Nombre en el caso de Fondos Renovables; en Anticipos clasifique los gastos según el ABSr001 aprobado </t>
        </r>
      </text>
    </comment>
    <comment ref="G1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Diligencie el valor aprobado por cada rubro según Registro Presupuestal en el caso de Fondos Renovables; en el caso de Anticipos diligencie el valor aprobado según ABSr001</t>
        </r>
      </text>
    </comment>
    <comment ref="B1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EN ESTA FILA REGISTRE UNO A UNO LAS FACTURAS O SOPORTES DE PAGO LEGALIZADAS DE ACUERDO ALRUBRO PRESUPUESTAL, NOMBRE E IDENTIFICACION DEL BENEFICIARIO, PRESUPUESTO, VALOR BASE, IVA, TOTAL, DESCUENTOS APLICADOS POR IMPUESTOS, VALOR PAGADO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Diligencie el código del Rubro Presupuestal y su Nombre en el caso de Fondos Renovables; en Anticipos clasifique los gastos según el ABSr001 aprobado </t>
        </r>
      </text>
    </comment>
    <comment ref="G1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Diligencie el valor aprobado por cada rubro según Registro Presupuestal en el caso de Fondos Renovables; en el caso de Anticipos diligencie el valor aprobado según ABSr001</t>
        </r>
      </text>
    </comment>
    <comment ref="B2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Diligencie el código del Rubro Presupuestal y su Nombre en el caso de Fondos Renovables; en Anticipos clasifique los gastos según el ABSr001 aprobado </t>
        </r>
      </text>
    </comment>
    <comment ref="G2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Diligencie el valor aprobado por cada rubro según Registro Presupuestal en el caso de Fondos Renovables; en el caso de Anticipos diligencie el valor aprobado según ABSr001</t>
        </r>
      </text>
    </comment>
    <comment ref="B29" authorId="0" shapeId="0" xr:uid="{C40C8197-75C8-4BFE-819B-6ECE6471252C}">
      <text>
        <r>
          <rPr>
            <b/>
            <sz val="9"/>
            <color indexed="81"/>
            <rFont val="Tahoma"/>
            <family val="2"/>
          </rPr>
          <t xml:space="preserve">Diligencie el código del Rubro Presupuestal y su Nombre en el caso de Fondos Renovables; en Anticipos clasifique los gastos según el ABSr001 aprobado </t>
        </r>
      </text>
    </comment>
    <comment ref="G29" authorId="0" shapeId="0" xr:uid="{9104C546-ABCC-4762-BFC9-5B698D5EA965}">
      <text>
        <r>
          <rPr>
            <b/>
            <sz val="9"/>
            <color indexed="81"/>
            <rFont val="Tahoma"/>
            <family val="2"/>
          </rPr>
          <t>Diligencie el valor aprobado por cada rubro según Registro Presupuestal en el caso de Fondos Renovables; en el caso de Anticipos diligencie el valor aprobado según ABSr001</t>
        </r>
      </text>
    </comment>
    <comment ref="B33" authorId="0" shapeId="0" xr:uid="{4B73C9D6-9908-4CCF-9BEA-E588613D5C89}">
      <text>
        <r>
          <rPr>
            <b/>
            <sz val="9"/>
            <color indexed="81"/>
            <rFont val="Tahoma"/>
            <family val="2"/>
          </rPr>
          <t xml:space="preserve">Diligencie el código del Rubro Presupuestal y su Nombre en el caso de Fondos Renovables; en Anticipos clasifique los gastos según el ABSr001 aprobado </t>
        </r>
      </text>
    </comment>
    <comment ref="G33" authorId="0" shapeId="0" xr:uid="{7624CC4C-C0DE-4A59-AAFD-DD6D147DE48B}">
      <text>
        <r>
          <rPr>
            <b/>
            <sz val="9"/>
            <color indexed="81"/>
            <rFont val="Tahoma"/>
            <family val="2"/>
          </rPr>
          <t>Diligencie el valor aprobado por cada rubro según Registro Presupuestal en el caso de Fondos Renovables; en el caso de Anticipos diligencie el valor aprobado según ABSr001</t>
        </r>
      </text>
    </comment>
  </commentList>
</comments>
</file>

<file path=xl/sharedStrings.xml><?xml version="1.0" encoding="utf-8"?>
<sst xmlns="http://schemas.openxmlformats.org/spreadsheetml/2006/main" count="50" uniqueCount="43">
  <si>
    <t xml:space="preserve">                                               </t>
  </si>
  <si>
    <t>MACROPROCESO DE APOYO</t>
  </si>
  <si>
    <t>CÓDIGO: AFIr107</t>
  </si>
  <si>
    <t>PROCESO GESTIÓN FINANCIERA</t>
  </si>
  <si>
    <t>VERSIÓN:5</t>
  </si>
  <si>
    <t>LEGALIZACIÓN ANTICIPOS, FONDOS RENOVABLES Y PAGOS POR RESOLUCION</t>
  </si>
  <si>
    <t>VIGENCIA: 2024-10-31</t>
  </si>
  <si>
    <t>PÁGINA 1 de 1</t>
  </si>
  <si>
    <t>Código de la dependencia</t>
  </si>
  <si>
    <t>FONDO RENOVABLE O ANTICIPO  DEPENCIA DE:</t>
  </si>
  <si>
    <t>VALOR TOTAL GIRADO</t>
  </si>
  <si>
    <t>NOMBRE DEL RESPONSABLE:</t>
  </si>
  <si>
    <t>CONCEPTO:</t>
  </si>
  <si>
    <t>CONCEPTO PRESUPUESTAL</t>
  </si>
  <si>
    <t>BENEFICIARIO</t>
  </si>
  <si>
    <t xml:space="preserve"> C.C. / NIT</t>
  </si>
  <si>
    <t>PRESUPUESTO</t>
  </si>
  <si>
    <t>VALOR BASE</t>
  </si>
  <si>
    <t xml:space="preserve">IVA </t>
  </si>
  <si>
    <t>TOTAL</t>
  </si>
  <si>
    <t>DESCUENTOS</t>
  </si>
  <si>
    <t xml:space="preserve"> PAGADO</t>
  </si>
  <si>
    <t>SALDO</t>
  </si>
  <si>
    <t>00000-XXXXXX</t>
  </si>
  <si>
    <t>-</t>
  </si>
  <si>
    <t>TOTALES</t>
  </si>
  <si>
    <t>VALOR ANTICIPO/FONDO:</t>
  </si>
  <si>
    <t>SOBRANTE:</t>
  </si>
  <si>
    <t>DEVOLUCIÓN DESCUENTOS APLICADOS:</t>
  </si>
  <si>
    <t>TOTAL SOBRANTE Y DEVOLUCIÓN:</t>
  </si>
  <si>
    <t xml:space="preserve">Responsable </t>
  </si>
  <si>
    <t xml:space="preserve">Vo.Bo Oficina de Contabilidad </t>
  </si>
  <si>
    <t>Fecha de Elaboración:</t>
  </si>
  <si>
    <t>12.1-14.1</t>
  </si>
  <si>
    <t>Diagonal 18 No. 20-29 Fusagasugá – Cundinamarca
Teléfono (601) 8281483 Línea Gratuita 018000180414
www.ucundinamarca.edu.co   E-mail: info@ucundinamarca.edu.co
NIT: 890.680.062-2</t>
  </si>
  <si>
    <t xml:space="preserve">Documento controlado por el Sistema de Gestión de la Calidad
Asegúrese que corresponde a la última versión consultando el Portal Institucional
</t>
  </si>
  <si>
    <t>DIRECCIÓN DE INVESTIGACIÓN</t>
  </si>
  <si>
    <t>CESAR AUGUSTO CASAS DIAZ</t>
  </si>
  <si>
    <t>FINANCIAR EL PROYECTO DE INVESTIGACIÓN 317, TITULADO: "ZONAS WIFI PARA BRINDAR SERVICIOS DE 
CONECTIVIDAD A INTERNET A LOS ESTUDIANTES DE DOCE (12) INSTITUCIONES
EDUCATIVAS RURALES DEL MUNICIPIO DE FUSAGASUGÁ"</t>
  </si>
  <si>
    <t>Factura Electrónica de venta FESI 4384</t>
  </si>
  <si>
    <t>Vistronica SAS</t>
  </si>
  <si>
    <t>30 de Abril de 2025</t>
  </si>
  <si>
    <t>Cesar Augusto Casas 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</si>
</sst>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164" formatCode="_(* #,##0.00_);_(* \(#,##0.00\);_(* &quot;-&quot;??_);_(@_)"/>
    <numFmt numFmtId="165" formatCode="_(&quot;$&quot;\ * #,##0.00_);_(&quot;$&quot;\ * \(#,##0.00\);_(&quot;$&quot;\ 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82B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Protection="1">
      <protection locked="0"/>
    </xf>
    <xf numFmtId="165" fontId="4" fillId="0" borderId="0" xfId="3" applyFont="1" applyProtection="1">
      <protection locked="0"/>
    </xf>
    <xf numFmtId="165" fontId="6" fillId="0" borderId="0" xfId="3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5" fillId="2" borderId="0" xfId="0" applyFont="1" applyFill="1" applyAlignment="1" applyProtection="1">
      <alignment vertical="center" wrapText="1"/>
      <protection locked="0"/>
    </xf>
    <xf numFmtId="0" fontId="8" fillId="2" borderId="0" xfId="0" applyFont="1" applyFill="1" applyProtection="1">
      <protection locked="0"/>
    </xf>
    <xf numFmtId="0" fontId="7" fillId="2" borderId="0" xfId="0" applyFont="1" applyFill="1" applyAlignment="1" applyProtection="1">
      <alignment vertical="center"/>
      <protection locked="0"/>
    </xf>
    <xf numFmtId="164" fontId="8" fillId="2" borderId="0" xfId="1" applyFont="1" applyFill="1" applyAlignment="1" applyProtection="1">
      <alignment horizontal="center" vertical="center"/>
      <protection locked="0"/>
    </xf>
    <xf numFmtId="166" fontId="7" fillId="2" borderId="0" xfId="1" applyNumberFormat="1" applyFont="1" applyFill="1" applyAlignment="1" applyProtection="1">
      <alignment horizontal="center" vertical="center"/>
      <protection locked="0"/>
    </xf>
    <xf numFmtId="166" fontId="9" fillId="2" borderId="0" xfId="1" applyNumberFormat="1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165" fontId="9" fillId="2" borderId="0" xfId="2" applyFont="1" applyFill="1" applyAlignment="1" applyProtection="1">
      <alignment vertical="center"/>
      <protection locked="0"/>
    </xf>
    <xf numFmtId="164" fontId="9" fillId="2" borderId="0" xfId="1" applyFont="1" applyFill="1" applyAlignment="1" applyProtection="1">
      <alignment vertical="center"/>
      <protection locked="0"/>
    </xf>
    <xf numFmtId="164" fontId="10" fillId="2" borderId="0" xfId="1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right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3" fillId="0" borderId="0" xfId="0" applyFont="1" applyProtection="1">
      <protection locked="0"/>
    </xf>
    <xf numFmtId="164" fontId="12" fillId="2" borderId="4" xfId="1" applyFont="1" applyFill="1" applyBorder="1" applyAlignment="1" applyProtection="1">
      <alignment horizontal="center" vertical="center"/>
      <protection locked="0"/>
    </xf>
    <xf numFmtId="164" fontId="13" fillId="2" borderId="4" xfId="1" applyFont="1" applyFill="1" applyBorder="1" applyAlignment="1" applyProtection="1">
      <alignment horizontal="center" vertical="center"/>
      <protection locked="0"/>
    </xf>
    <xf numFmtId="166" fontId="12" fillId="2" borderId="4" xfId="1" applyNumberFormat="1" applyFont="1" applyFill="1" applyBorder="1" applyAlignment="1" applyProtection="1">
      <alignment horizontal="center" vertical="center"/>
      <protection locked="0"/>
    </xf>
    <xf numFmtId="0" fontId="12" fillId="2" borderId="26" xfId="0" applyFont="1" applyFill="1" applyBorder="1" applyAlignment="1" applyProtection="1">
      <alignment vertical="center"/>
      <protection locked="0"/>
    </xf>
    <xf numFmtId="0" fontId="9" fillId="2" borderId="27" xfId="0" applyFont="1" applyFill="1" applyBorder="1" applyAlignment="1" applyProtection="1">
      <alignment vertical="center"/>
      <protection locked="0"/>
    </xf>
    <xf numFmtId="164" fontId="10" fillId="2" borderId="0" xfId="1" applyFont="1" applyFill="1" applyBorder="1" applyAlignment="1" applyProtection="1">
      <alignment vertical="center"/>
      <protection locked="0"/>
    </xf>
    <xf numFmtId="165" fontId="11" fillId="2" borderId="4" xfId="2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horizontal="center" vertical="center" wrapText="1"/>
      <protection locked="0"/>
    </xf>
    <xf numFmtId="165" fontId="12" fillId="2" borderId="4" xfId="2" applyFont="1" applyFill="1" applyBorder="1" applyAlignment="1" applyProtection="1">
      <alignment horizontal="center" vertical="center"/>
      <protection locked="0"/>
    </xf>
    <xf numFmtId="164" fontId="12" fillId="2" borderId="4" xfId="1" applyFont="1" applyFill="1" applyBorder="1" applyAlignment="1" applyProtection="1">
      <alignment vertical="center"/>
      <protection locked="0"/>
    </xf>
    <xf numFmtId="166" fontId="12" fillId="2" borderId="4" xfId="1" applyNumberFormat="1" applyFont="1" applyFill="1" applyBorder="1" applyAlignment="1" applyProtection="1">
      <alignment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0" fontId="11" fillId="2" borderId="26" xfId="0" applyFont="1" applyFill="1" applyBorder="1" applyAlignment="1" applyProtection="1">
      <alignment horizontal="right" vertical="center"/>
      <protection locked="0"/>
    </xf>
    <xf numFmtId="0" fontId="11" fillId="2" borderId="28" xfId="0" applyFont="1" applyFill="1" applyBorder="1" applyAlignment="1" applyProtection="1">
      <alignment horizontal="left" vertical="center" wrapText="1"/>
      <protection locked="0"/>
    </xf>
    <xf numFmtId="165" fontId="11" fillId="0" borderId="4" xfId="2" applyFont="1" applyFill="1" applyBorder="1" applyAlignment="1" applyProtection="1">
      <alignment vertical="center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11" fillId="4" borderId="28" xfId="0" applyFont="1" applyFill="1" applyBorder="1" applyAlignment="1" applyProtection="1">
      <alignment horizontal="left" vertical="center" wrapText="1"/>
      <protection locked="0"/>
    </xf>
    <xf numFmtId="0" fontId="11" fillId="4" borderId="26" xfId="0" applyFont="1" applyFill="1" applyBorder="1" applyAlignment="1" applyProtection="1">
      <alignment horizontal="right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164" fontId="15" fillId="3" borderId="2" xfId="1" applyFont="1" applyFill="1" applyBorder="1" applyAlignment="1" applyProtection="1">
      <alignment horizontal="center" vertical="center"/>
      <protection locked="0"/>
    </xf>
    <xf numFmtId="166" fontId="15" fillId="3" borderId="2" xfId="1" applyNumberFormat="1" applyFont="1" applyFill="1" applyBorder="1" applyAlignment="1" applyProtection="1">
      <alignment horizontal="center" vertical="center"/>
      <protection locked="0"/>
    </xf>
    <xf numFmtId="166" fontId="15" fillId="3" borderId="3" xfId="1" applyNumberFormat="1" applyFont="1" applyFill="1" applyBorder="1" applyAlignment="1" applyProtection="1">
      <alignment horizontal="center" vertical="center"/>
      <protection locked="0"/>
    </xf>
    <xf numFmtId="164" fontId="11" fillId="4" borderId="4" xfId="1" applyFont="1" applyFill="1" applyBorder="1" applyAlignment="1" applyProtection="1">
      <alignment vertical="center"/>
      <protection locked="0"/>
    </xf>
    <xf numFmtId="166" fontId="11" fillId="4" borderId="4" xfId="1" applyNumberFormat="1" applyFont="1" applyFill="1" applyBorder="1" applyAlignment="1" applyProtection="1">
      <alignment vertical="center"/>
      <protection locked="0"/>
    </xf>
    <xf numFmtId="164" fontId="11" fillId="0" borderId="4" xfId="1" applyFont="1" applyFill="1" applyBorder="1" applyAlignment="1" applyProtection="1">
      <alignment vertical="center"/>
      <protection locked="0"/>
    </xf>
    <xf numFmtId="166" fontId="11" fillId="0" borderId="4" xfId="1" applyNumberFormat="1" applyFont="1" applyFill="1" applyBorder="1" applyAlignment="1" applyProtection="1">
      <alignment vertical="center"/>
      <protection locked="0"/>
    </xf>
    <xf numFmtId="165" fontId="15" fillId="3" borderId="16" xfId="2" applyFont="1" applyFill="1" applyBorder="1" applyAlignment="1" applyProtection="1">
      <alignment vertical="center"/>
      <protection locked="0"/>
    </xf>
    <xf numFmtId="164" fontId="15" fillId="3" borderId="0" xfId="1" applyFont="1" applyFill="1" applyAlignment="1" applyProtection="1">
      <alignment vertical="center"/>
      <protection locked="0"/>
    </xf>
    <xf numFmtId="42" fontId="15" fillId="3" borderId="0" xfId="4" applyFont="1" applyFill="1" applyAlignment="1" applyProtection="1">
      <alignment vertical="center"/>
      <protection locked="0"/>
    </xf>
    <xf numFmtId="165" fontId="15" fillId="3" borderId="0" xfId="2" applyFont="1" applyFill="1" applyAlignment="1" applyProtection="1">
      <alignment vertical="center"/>
      <protection locked="0"/>
    </xf>
    <xf numFmtId="0" fontId="1" fillId="0" borderId="0" xfId="0" applyFont="1"/>
    <xf numFmtId="165" fontId="4" fillId="0" borderId="0" xfId="3" applyFont="1" applyProtection="1"/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left" vertical="center" shrinkToFit="1"/>
      <protection locked="0"/>
    </xf>
    <xf numFmtId="0" fontId="11" fillId="2" borderId="25" xfId="0" applyFont="1" applyFill="1" applyBorder="1" applyAlignment="1" applyProtection="1">
      <alignment horizontal="left" vertical="center" shrinkToFit="1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166" fontId="15" fillId="2" borderId="18" xfId="1" applyNumberFormat="1" applyFont="1" applyFill="1" applyBorder="1" applyAlignment="1" applyProtection="1">
      <alignment horizontal="center" vertical="center"/>
      <protection locked="0"/>
    </xf>
    <xf numFmtId="166" fontId="15" fillId="2" borderId="9" xfId="1" applyNumberFormat="1" applyFont="1" applyFill="1" applyBorder="1" applyAlignment="1" applyProtection="1">
      <alignment horizontal="center" vertical="center"/>
      <protection locked="0"/>
    </xf>
    <xf numFmtId="0" fontId="11" fillId="4" borderId="4" xfId="0" applyFont="1" applyFill="1" applyBorder="1" applyAlignment="1" applyProtection="1">
      <alignment horizontal="left" vertical="center" shrinkToFit="1"/>
      <protection locked="0"/>
    </xf>
    <xf numFmtId="0" fontId="11" fillId="4" borderId="25" xfId="0" applyFont="1" applyFill="1" applyBorder="1" applyAlignment="1" applyProtection="1">
      <alignment horizontal="left" vertical="center" shrinkToFit="1"/>
      <protection locked="0"/>
    </xf>
    <xf numFmtId="165" fontId="6" fillId="0" borderId="25" xfId="3" applyFont="1" applyBorder="1" applyAlignment="1" applyProtection="1">
      <alignment horizontal="center" vertical="center"/>
    </xf>
    <xf numFmtId="165" fontId="6" fillId="0" borderId="26" xfId="3" applyFont="1" applyBorder="1" applyAlignment="1" applyProtection="1">
      <alignment horizontal="center" vertical="center"/>
    </xf>
    <xf numFmtId="164" fontId="15" fillId="3" borderId="4" xfId="1" applyFont="1" applyFill="1" applyBorder="1" applyAlignment="1" applyProtection="1">
      <alignment horizontal="center" vertical="center"/>
      <protection locked="0"/>
    </xf>
    <xf numFmtId="0" fontId="15" fillId="3" borderId="29" xfId="0" applyFont="1" applyFill="1" applyBorder="1" applyAlignment="1" applyProtection="1">
      <alignment horizontal="center" vertical="center"/>
      <protection locked="0"/>
    </xf>
    <xf numFmtId="0" fontId="15" fillId="3" borderId="30" xfId="0" applyFont="1" applyFill="1" applyBorder="1" applyAlignment="1" applyProtection="1">
      <alignment horizontal="center" vertical="center"/>
      <protection locked="0"/>
    </xf>
    <xf numFmtId="166" fontId="12" fillId="2" borderId="23" xfId="1" applyNumberFormat="1" applyFont="1" applyFill="1" applyBorder="1" applyAlignment="1" applyProtection="1">
      <alignment horizontal="center" vertical="center" wrapText="1"/>
      <protection locked="0"/>
    </xf>
    <xf numFmtId="166" fontId="12" fillId="2" borderId="26" xfId="1" applyNumberFormat="1" applyFont="1" applyFill="1" applyBorder="1" applyAlignment="1" applyProtection="1">
      <alignment horizontal="center" vertical="center" wrapTex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0" fontId="12" fillId="2" borderId="7" xfId="0" applyFont="1" applyFill="1" applyBorder="1" applyAlignment="1" applyProtection="1">
      <alignment horizontal="center" vertical="center" wrapText="1"/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166" fontId="15" fillId="2" borderId="19" xfId="1" applyNumberFormat="1" applyFont="1" applyFill="1" applyBorder="1" applyAlignment="1" applyProtection="1">
      <alignment horizontal="center" vertical="center"/>
      <protection locked="0"/>
    </xf>
    <xf numFmtId="165" fontId="6" fillId="0" borderId="28" xfId="3" applyFont="1" applyBorder="1" applyAlignment="1" applyProtection="1">
      <alignment horizontal="center" vertical="center"/>
    </xf>
    <xf numFmtId="165" fontId="6" fillId="0" borderId="21" xfId="3" applyFont="1" applyBorder="1" applyAlignment="1" applyProtection="1">
      <alignment horizontal="center" vertical="center"/>
    </xf>
    <xf numFmtId="165" fontId="6" fillId="0" borderId="20" xfId="3" applyFont="1" applyBorder="1" applyAlignment="1" applyProtection="1">
      <alignment horizontal="center" vertical="center"/>
    </xf>
    <xf numFmtId="165" fontId="6" fillId="0" borderId="22" xfId="3" applyFont="1" applyBorder="1" applyAlignment="1" applyProtection="1">
      <alignment horizontal="center" vertical="center"/>
    </xf>
    <xf numFmtId="165" fontId="6" fillId="0" borderId="23" xfId="3" applyFont="1" applyBorder="1" applyAlignment="1" applyProtection="1">
      <alignment horizontal="center" vertical="center"/>
    </xf>
    <xf numFmtId="165" fontId="6" fillId="0" borderId="17" xfId="3" applyFont="1" applyBorder="1" applyAlignment="1" applyProtection="1">
      <alignment horizontal="center" vertical="center"/>
    </xf>
    <xf numFmtId="165" fontId="6" fillId="0" borderId="24" xfId="3" applyFont="1" applyBorder="1" applyAlignment="1" applyProtection="1">
      <alignment horizontal="center" vertical="center"/>
    </xf>
    <xf numFmtId="0" fontId="8" fillId="2" borderId="17" xfId="0" applyFont="1" applyFill="1" applyBorder="1" applyAlignment="1" applyProtection="1">
      <alignment horizont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locked="0"/>
    </xf>
    <xf numFmtId="165" fontId="6" fillId="0" borderId="4" xfId="3" applyFont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165" fontId="7" fillId="0" borderId="25" xfId="2" applyFont="1" applyFill="1" applyBorder="1" applyAlignment="1" applyProtection="1">
      <alignment horizontal="center" vertical="center"/>
      <protection locked="0"/>
    </xf>
    <xf numFmtId="165" fontId="7" fillId="0" borderId="26" xfId="2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wrapText="1"/>
      <protection locked="0"/>
    </xf>
    <xf numFmtId="0" fontId="10" fillId="0" borderId="0" xfId="0" applyFont="1" applyAlignment="1" applyProtection="1">
      <alignment horizontal="right"/>
      <protection locked="0"/>
    </xf>
    <xf numFmtId="0" fontId="17" fillId="2" borderId="27" xfId="0" applyFont="1" applyFill="1" applyBorder="1" applyAlignment="1" applyProtection="1">
      <alignment horizontal="center" wrapText="1"/>
      <protection locked="0"/>
    </xf>
    <xf numFmtId="165" fontId="15" fillId="3" borderId="0" xfId="2" applyFont="1" applyFill="1" applyAlignment="1" applyProtection="1">
      <alignment horizontal="left" vertical="center"/>
      <protection locked="0"/>
    </xf>
    <xf numFmtId="0" fontId="15" fillId="3" borderId="13" xfId="0" applyFont="1" applyFill="1" applyBorder="1" applyAlignment="1" applyProtection="1">
      <alignment horizontal="center" vertical="center"/>
      <protection locked="0"/>
    </xf>
    <xf numFmtId="0" fontId="15" fillId="3" borderId="14" xfId="0" applyFont="1" applyFill="1" applyBorder="1" applyAlignment="1" applyProtection="1">
      <alignment horizontal="center" vertical="center"/>
      <protection locked="0"/>
    </xf>
    <xf numFmtId="0" fontId="15" fillId="3" borderId="15" xfId="0" applyFont="1" applyFill="1" applyBorder="1" applyAlignment="1" applyProtection="1">
      <alignment horizontal="center" vertical="center"/>
      <protection locked="0"/>
    </xf>
    <xf numFmtId="0" fontId="17" fillId="2" borderId="27" xfId="0" applyFont="1" applyFill="1" applyBorder="1" applyAlignment="1" applyProtection="1">
      <alignment horizontal="center" vertical="center"/>
      <protection locked="0"/>
    </xf>
    <xf numFmtId="0" fontId="0" fillId="2" borderId="31" xfId="0" applyFill="1" applyBorder="1" applyAlignment="1" applyProtection="1">
      <alignment horizontal="center"/>
      <protection locked="0"/>
    </xf>
    <xf numFmtId="0" fontId="14" fillId="2" borderId="3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horizontal="center"/>
      <protection locked="0"/>
    </xf>
    <xf numFmtId="0" fontId="7" fillId="2" borderId="28" xfId="0" applyFont="1" applyFill="1" applyBorder="1" applyAlignment="1" applyProtection="1">
      <alignment horizontal="center" vertical="center" wrapText="1"/>
      <protection locked="0"/>
    </xf>
  </cellXfs>
  <cellStyles count="5">
    <cellStyle name="Millares" xfId="1" builtinId="3"/>
    <cellStyle name="Moneda" xfId="2" builtinId="4"/>
    <cellStyle name="Moneda [0]" xfId="4" builtinId="7"/>
    <cellStyle name="Moneda 2 2" xfId="3" xr:uid="{00000000-0005-0000-0000-000003000000}"/>
    <cellStyle name="Normal" xfId="0" builtinId="0"/>
  </cellStyles>
  <dxfs count="0"/>
  <tableStyles count="0" defaultTableStyle="TableStyleMedium2" defaultPivotStyle="PivotStyleLight16"/>
  <colors>
    <mruColors>
      <color rgb="FF00482B"/>
      <color rgb="FF4E4B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1564822</xdr:colOff>
      <xdr:row>1</xdr:row>
      <xdr:rowOff>68036</xdr:rowOff>
    </xdr:from>
    <xdr:to>
      <xdr:col>1</xdr:col>
      <xdr:colOff>2231571</xdr:colOff>
      <xdr:row>4</xdr:row>
      <xdr:rowOff>176893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72CC7-BA0B-435F-B07B-838BEDF8E1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258536"/>
          <a:ext cx="666749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40</xdr:row>
      <xdr:rowOff>107150</xdr:rowOff>
    </xdr:from>
    <xdr:to>
      <xdr:col>3</xdr:col>
      <xdr:colOff>1085849</xdr:colOff>
      <xdr:row>43</xdr:row>
      <xdr:rowOff>111125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2F72E9-B19D-1933-8CB6-7502EFC9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583" y="12288567"/>
          <a:ext cx="1477433" cy="54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"/>
  <sheetViews>
    <sheetView showGridLines="0" tabSelected="1" view="pageBreakPreview" topLeftCell="B24" zoomScale="60" zoomScaleNormal="70" workbookViewId="0">
      <selection activeCell="C49" sqref="C49:D49"/>
    </sheetView>
  </sheetViews>
  <sheetFormatPr baseColWidth="10" defaultColWidth="0" defaultRowHeight="14.5" zeroHeight="1" x14ac:dyDescent="0.35"/>
  <cols>
    <col min="1" max="1" width="9.54296875" style="1" customWidth="1"/>
    <col min="2" max="2" width="64.1796875" style="1" customWidth="1"/>
    <col min="3" max="3" width="13.81640625" style="1" customWidth="1"/>
    <col min="4" max="4" width="24.7265625" style="1" customWidth="1"/>
    <col min="5" max="5" width="6.54296875" style="1" customWidth="1"/>
    <col min="6" max="6" width="21.1796875" style="1" customWidth="1"/>
    <col min="7" max="7" width="19.453125" style="1" customWidth="1"/>
    <col min="8" max="8" width="20.1796875" style="1" customWidth="1"/>
    <col min="9" max="9" width="17.453125" style="1" customWidth="1"/>
    <col min="10" max="10" width="20.7265625" style="19" customWidth="1"/>
    <col min="11" max="11" width="17.453125" style="1" customWidth="1"/>
    <col min="12" max="12" width="19.81640625" style="1" customWidth="1"/>
    <col min="13" max="13" width="17.453125" style="1" customWidth="1"/>
    <col min="14" max="14" width="11.453125" style="1" customWidth="1"/>
    <col min="15" max="18" width="0" style="1" hidden="1" customWidth="1"/>
    <col min="19" max="16384" width="11.453125" style="1" hidden="1"/>
  </cols>
  <sheetData>
    <row r="1" spans="2:18" customFormat="1" x14ac:dyDescent="0.35">
      <c r="J1" s="55"/>
    </row>
    <row r="2" spans="2:18" s="56" customFormat="1" ht="18" customHeight="1" x14ac:dyDescent="0.35">
      <c r="B2" s="91" t="s">
        <v>0</v>
      </c>
      <c r="C2" s="71" t="s">
        <v>1</v>
      </c>
      <c r="D2" s="82"/>
      <c r="E2" s="82"/>
      <c r="F2" s="82"/>
      <c r="G2" s="82"/>
      <c r="H2" s="82"/>
      <c r="I2" s="82"/>
      <c r="J2" s="82"/>
      <c r="K2" s="72"/>
      <c r="L2" s="91" t="s">
        <v>2</v>
      </c>
      <c r="M2" s="91"/>
      <c r="N2"/>
      <c r="O2"/>
      <c r="P2"/>
      <c r="Q2"/>
      <c r="R2"/>
    </row>
    <row r="3" spans="2:18" s="56" customFormat="1" ht="20.25" customHeight="1" x14ac:dyDescent="0.35">
      <c r="B3" s="91"/>
      <c r="C3" s="71" t="s">
        <v>3</v>
      </c>
      <c r="D3" s="82"/>
      <c r="E3" s="82"/>
      <c r="F3" s="82"/>
      <c r="G3" s="82"/>
      <c r="H3" s="82"/>
      <c r="I3" s="82"/>
      <c r="J3" s="82"/>
      <c r="K3" s="72"/>
      <c r="L3" s="91" t="s">
        <v>4</v>
      </c>
      <c r="M3" s="91"/>
      <c r="N3"/>
      <c r="O3"/>
      <c r="P3"/>
      <c r="Q3"/>
      <c r="R3"/>
    </row>
    <row r="4" spans="2:18" s="56" customFormat="1" ht="20.25" customHeight="1" x14ac:dyDescent="0.35">
      <c r="B4" s="91"/>
      <c r="C4" s="83" t="s">
        <v>5</v>
      </c>
      <c r="D4" s="84"/>
      <c r="E4" s="84"/>
      <c r="F4" s="84"/>
      <c r="G4" s="84"/>
      <c r="H4" s="84"/>
      <c r="I4" s="84"/>
      <c r="J4" s="84"/>
      <c r="K4" s="85"/>
      <c r="L4" s="71" t="s">
        <v>6</v>
      </c>
      <c r="M4" s="72"/>
      <c r="N4"/>
      <c r="O4"/>
      <c r="P4"/>
      <c r="Q4"/>
      <c r="R4"/>
    </row>
    <row r="5" spans="2:18" s="56" customFormat="1" ht="18" customHeight="1" x14ac:dyDescent="0.35">
      <c r="B5" s="91"/>
      <c r="C5" s="86"/>
      <c r="D5" s="87"/>
      <c r="E5" s="87"/>
      <c r="F5" s="87"/>
      <c r="G5" s="87"/>
      <c r="H5" s="87"/>
      <c r="I5" s="87"/>
      <c r="J5" s="87"/>
      <c r="K5" s="88"/>
      <c r="L5" s="91" t="s">
        <v>7</v>
      </c>
      <c r="M5" s="91"/>
      <c r="N5"/>
      <c r="O5"/>
      <c r="P5"/>
      <c r="Q5"/>
      <c r="R5"/>
    </row>
    <row r="6" spans="2:18" s="2" customFormat="1" ht="18" customHeigh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  <c r="P6" s="1"/>
      <c r="Q6" s="1"/>
      <c r="R6" s="1"/>
    </row>
    <row r="7" spans="2:18" s="2" customFormat="1" ht="18" customHeight="1" x14ac:dyDescent="0.35">
      <c r="B7" s="4" t="s">
        <v>8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1"/>
      <c r="R7" s="1"/>
    </row>
    <row r="8" spans="2:18" ht="15" customHeight="1" x14ac:dyDescent="0.35">
      <c r="B8" s="5"/>
      <c r="C8" s="5"/>
      <c r="D8" s="6"/>
      <c r="E8" s="6"/>
      <c r="F8" s="6"/>
      <c r="G8" s="6"/>
      <c r="H8" s="6"/>
      <c r="I8" s="6"/>
      <c r="J8" s="7"/>
      <c r="K8" s="6"/>
      <c r="L8" s="6"/>
      <c r="M8" s="6"/>
    </row>
    <row r="9" spans="2:18" ht="33" customHeight="1" x14ac:dyDescent="0.35">
      <c r="B9" s="41" t="s">
        <v>9</v>
      </c>
      <c r="C9" s="89" t="s">
        <v>36</v>
      </c>
      <c r="D9" s="89"/>
      <c r="E9" s="89"/>
      <c r="F9" s="89"/>
      <c r="G9" s="89"/>
      <c r="H9" s="89"/>
      <c r="I9" s="8"/>
      <c r="J9" s="73" t="s">
        <v>10</v>
      </c>
      <c r="K9" s="73"/>
      <c r="L9" s="95">
        <v>19997629</v>
      </c>
      <c r="M9" s="96"/>
    </row>
    <row r="10" spans="2:18" ht="32.25" customHeight="1" x14ac:dyDescent="0.35">
      <c r="B10" s="41" t="s">
        <v>11</v>
      </c>
      <c r="C10" s="90" t="s">
        <v>37</v>
      </c>
      <c r="D10" s="90"/>
      <c r="E10" s="90"/>
      <c r="F10" s="90"/>
      <c r="G10" s="90"/>
      <c r="H10" s="90"/>
      <c r="I10" s="9"/>
      <c r="J10" s="10"/>
      <c r="K10" s="11"/>
      <c r="L10" s="11"/>
      <c r="M10" s="12"/>
    </row>
    <row r="11" spans="2:18" ht="32.25" customHeight="1" x14ac:dyDescent="0.35">
      <c r="B11" s="42" t="s">
        <v>12</v>
      </c>
      <c r="C11" s="110" t="s">
        <v>38</v>
      </c>
      <c r="D11" s="90"/>
      <c r="E11" s="90"/>
      <c r="F11" s="90"/>
      <c r="G11" s="90"/>
      <c r="H11" s="90"/>
      <c r="I11" s="9"/>
      <c r="J11" s="9"/>
      <c r="K11" s="9"/>
      <c r="L11" s="9"/>
      <c r="M11" s="9"/>
    </row>
    <row r="12" spans="2:18" ht="15" thickBot="1" x14ac:dyDescent="0.4">
      <c r="B12" s="13"/>
      <c r="C12" s="13"/>
      <c r="D12" s="13"/>
      <c r="E12" s="13"/>
      <c r="F12" s="13"/>
      <c r="G12" s="14"/>
      <c r="H12" s="15"/>
      <c r="I12" s="15"/>
      <c r="J12" s="16"/>
      <c r="K12" s="12"/>
      <c r="L12" s="15"/>
      <c r="M12" s="12"/>
    </row>
    <row r="13" spans="2:18" x14ac:dyDescent="0.35">
      <c r="B13" s="43" t="s">
        <v>13</v>
      </c>
      <c r="C13" s="74" t="s">
        <v>14</v>
      </c>
      <c r="D13" s="75"/>
      <c r="E13" s="74" t="s">
        <v>15</v>
      </c>
      <c r="F13" s="75"/>
      <c r="G13" s="44" t="s">
        <v>16</v>
      </c>
      <c r="H13" s="44" t="s">
        <v>17</v>
      </c>
      <c r="I13" s="44" t="s">
        <v>18</v>
      </c>
      <c r="J13" s="44" t="s">
        <v>19</v>
      </c>
      <c r="K13" s="45" t="s">
        <v>20</v>
      </c>
      <c r="L13" s="44" t="s">
        <v>21</v>
      </c>
      <c r="M13" s="46" t="s">
        <v>22</v>
      </c>
    </row>
    <row r="14" spans="2:18" ht="94.5" customHeight="1" x14ac:dyDescent="0.35">
      <c r="B14" s="69" t="s">
        <v>23</v>
      </c>
      <c r="C14" s="69"/>
      <c r="D14" s="70"/>
      <c r="E14" s="38"/>
      <c r="F14" s="39"/>
      <c r="G14" s="27">
        <v>0</v>
      </c>
      <c r="H14" s="47">
        <f>SUM(H15:H17)</f>
        <v>17968429</v>
      </c>
      <c r="I14" s="47">
        <f>SUM(I15:I17)</f>
        <v>2029200</v>
      </c>
      <c r="J14" s="47">
        <f>SUM(J15:J17)</f>
        <v>19997629</v>
      </c>
      <c r="K14" s="48">
        <f>SUM(K15:K17)</f>
        <v>951962</v>
      </c>
      <c r="L14" s="47">
        <f>SUM(L15:L17)</f>
        <v>19045667</v>
      </c>
      <c r="M14" s="48">
        <f>+G14-J14</f>
        <v>-19997629</v>
      </c>
    </row>
    <row r="15" spans="2:18" x14ac:dyDescent="0.35">
      <c r="B15" s="28"/>
      <c r="C15" s="57"/>
      <c r="D15" s="58"/>
      <c r="E15" s="76">
        <v>0</v>
      </c>
      <c r="F15" s="77"/>
      <c r="G15" s="24"/>
      <c r="H15" s="21"/>
      <c r="I15" s="21"/>
      <c r="J15" s="22">
        <f>+H15+I15</f>
        <v>0</v>
      </c>
      <c r="K15" s="23"/>
      <c r="L15" s="21">
        <f>+J15-K15</f>
        <v>0</v>
      </c>
      <c r="M15" s="67"/>
    </row>
    <row r="16" spans="2:18" x14ac:dyDescent="0.35">
      <c r="B16" s="28" t="s">
        <v>39</v>
      </c>
      <c r="C16" s="57" t="s">
        <v>40</v>
      </c>
      <c r="D16" s="58"/>
      <c r="E16" s="57">
        <v>11255333</v>
      </c>
      <c r="F16" s="58"/>
      <c r="G16" s="29">
        <v>19997629</v>
      </c>
      <c r="H16" s="21">
        <v>17968429</v>
      </c>
      <c r="I16" s="21">
        <v>2029200</v>
      </c>
      <c r="J16" s="22">
        <f t="shared" ref="J16:J17" si="0">+H16+I16</f>
        <v>19997629</v>
      </c>
      <c r="K16" s="23">
        <v>951962</v>
      </c>
      <c r="L16" s="21">
        <f t="shared" ref="L16:L17" si="1">+J16-K16</f>
        <v>19045667</v>
      </c>
      <c r="M16" s="81"/>
    </row>
    <row r="17" spans="2:13" x14ac:dyDescent="0.35">
      <c r="B17" s="28"/>
      <c r="C17" s="57"/>
      <c r="D17" s="58"/>
      <c r="E17" s="57"/>
      <c r="F17" s="58"/>
      <c r="G17" s="29"/>
      <c r="H17" s="21"/>
      <c r="I17" s="21"/>
      <c r="J17" s="22">
        <f t="shared" si="0"/>
        <v>0</v>
      </c>
      <c r="K17" s="23"/>
      <c r="L17" s="21">
        <f t="shared" si="1"/>
        <v>0</v>
      </c>
      <c r="M17" s="68"/>
    </row>
    <row r="18" spans="2:13" ht="15" thickBot="1" x14ac:dyDescent="0.4">
      <c r="B18" s="92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</row>
    <row r="19" spans="2:13" ht="72.75" customHeight="1" thickTop="1" x14ac:dyDescent="0.35">
      <c r="B19" s="69" t="s">
        <v>23</v>
      </c>
      <c r="C19" s="69"/>
      <c r="D19" s="70"/>
      <c r="E19" s="38"/>
      <c r="F19" s="39" t="s">
        <v>24</v>
      </c>
      <c r="G19" s="27">
        <v>0</v>
      </c>
      <c r="H19" s="47">
        <f>SUM(H20:H22)</f>
        <v>0</v>
      </c>
      <c r="I19" s="47">
        <f>SUM(I20:I22)</f>
        <v>0</v>
      </c>
      <c r="J19" s="47">
        <f>SUM(J20:J22)</f>
        <v>0</v>
      </c>
      <c r="K19" s="47">
        <f>SUM(K20:K22)</f>
        <v>0</v>
      </c>
      <c r="L19" s="47">
        <f>SUM(L20:L22)</f>
        <v>0</v>
      </c>
      <c r="M19" s="48">
        <f>+G19-J19</f>
        <v>0</v>
      </c>
    </row>
    <row r="20" spans="2:13" x14ac:dyDescent="0.35">
      <c r="B20" s="28"/>
      <c r="C20" s="57"/>
      <c r="D20" s="58"/>
      <c r="E20" s="57"/>
      <c r="F20" s="58"/>
      <c r="G20" s="27"/>
      <c r="H20" s="30"/>
      <c r="I20" s="30"/>
      <c r="J20" s="22">
        <f>+H20+I20</f>
        <v>0</v>
      </c>
      <c r="K20" s="31"/>
      <c r="L20" s="21">
        <f>+J20-K20</f>
        <v>0</v>
      </c>
      <c r="M20" s="67"/>
    </row>
    <row r="21" spans="2:13" x14ac:dyDescent="0.35">
      <c r="B21" s="28"/>
      <c r="C21" s="36"/>
      <c r="D21" s="37"/>
      <c r="E21" s="36"/>
      <c r="F21" s="37"/>
      <c r="G21" s="27"/>
      <c r="H21" s="30"/>
      <c r="I21" s="30"/>
      <c r="J21" s="22">
        <f t="shared" ref="J21:J22" si="2">+H21+I21</f>
        <v>0</v>
      </c>
      <c r="K21" s="31"/>
      <c r="L21" s="21">
        <f t="shared" ref="L21:L22" si="3">+J21-K21</f>
        <v>0</v>
      </c>
      <c r="M21" s="81"/>
    </row>
    <row r="22" spans="2:13" x14ac:dyDescent="0.35">
      <c r="B22" s="32"/>
      <c r="C22" s="57"/>
      <c r="D22" s="58"/>
      <c r="E22" s="57"/>
      <c r="F22" s="58"/>
      <c r="G22" s="27">
        <v>0</v>
      </c>
      <c r="H22" s="30"/>
      <c r="I22" s="30"/>
      <c r="J22" s="22">
        <f t="shared" si="2"/>
        <v>0</v>
      </c>
      <c r="K22" s="31"/>
      <c r="L22" s="21">
        <f t="shared" si="3"/>
        <v>0</v>
      </c>
      <c r="M22" s="68"/>
    </row>
    <row r="23" spans="2:13" ht="15" thickBot="1" x14ac:dyDescent="0.4"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</row>
    <row r="24" spans="2:13" ht="69" customHeight="1" thickTop="1" x14ac:dyDescent="0.35">
      <c r="B24" s="69" t="s">
        <v>23</v>
      </c>
      <c r="C24" s="69"/>
      <c r="D24" s="70"/>
      <c r="E24" s="38"/>
      <c r="F24" s="39" t="s">
        <v>24</v>
      </c>
      <c r="G24" s="27">
        <v>0</v>
      </c>
      <c r="H24" s="47">
        <f>SUM(H25:H27)</f>
        <v>0</v>
      </c>
      <c r="I24" s="47">
        <f>SUM(I25:I27)</f>
        <v>0</v>
      </c>
      <c r="J24" s="47">
        <f>SUM(J25:J27)</f>
        <v>0</v>
      </c>
      <c r="K24" s="47">
        <f>SUM(K25:K27)</f>
        <v>0</v>
      </c>
      <c r="L24" s="47">
        <f>SUM(L25:L27)</f>
        <v>0</v>
      </c>
      <c r="M24" s="48">
        <f>+G24-J24</f>
        <v>0</v>
      </c>
    </row>
    <row r="25" spans="2:13" x14ac:dyDescent="0.35">
      <c r="B25" s="28"/>
      <c r="C25" s="57"/>
      <c r="D25" s="58"/>
      <c r="E25" s="57"/>
      <c r="F25" s="58"/>
      <c r="G25" s="27"/>
      <c r="H25" s="30"/>
      <c r="I25" s="30"/>
      <c r="J25" s="22">
        <f t="shared" ref="J25:J27" si="4">+H25+I25</f>
        <v>0</v>
      </c>
      <c r="K25" s="31"/>
      <c r="L25" s="21">
        <f t="shared" ref="L25:L27" si="5">+J25-K25</f>
        <v>0</v>
      </c>
      <c r="M25" s="67"/>
    </row>
    <row r="26" spans="2:13" x14ac:dyDescent="0.35">
      <c r="B26" s="32"/>
      <c r="C26" s="57"/>
      <c r="D26" s="58"/>
      <c r="E26" s="57"/>
      <c r="F26" s="58"/>
      <c r="G26" s="27"/>
      <c r="H26" s="30"/>
      <c r="I26" s="30"/>
      <c r="J26" s="22">
        <f t="shared" si="4"/>
        <v>0</v>
      </c>
      <c r="K26" s="31"/>
      <c r="L26" s="21">
        <f t="shared" si="5"/>
        <v>0</v>
      </c>
      <c r="M26" s="68"/>
    </row>
    <row r="27" spans="2:13" x14ac:dyDescent="0.35">
      <c r="B27" s="59"/>
      <c r="C27" s="59"/>
      <c r="D27" s="60"/>
      <c r="E27" s="34"/>
      <c r="F27" s="33"/>
      <c r="G27" s="35"/>
      <c r="H27" s="49"/>
      <c r="I27" s="49"/>
      <c r="J27" s="22">
        <f t="shared" si="4"/>
        <v>0</v>
      </c>
      <c r="K27" s="50"/>
      <c r="L27" s="21">
        <f t="shared" si="5"/>
        <v>0</v>
      </c>
      <c r="M27" s="50"/>
    </row>
    <row r="28" spans="2:13" ht="15" thickBot="1" x14ac:dyDescent="0.4">
      <c r="B28" s="78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80"/>
    </row>
    <row r="29" spans="2:13" ht="72" customHeight="1" thickTop="1" x14ac:dyDescent="0.35">
      <c r="B29" s="69" t="s">
        <v>23</v>
      </c>
      <c r="C29" s="69"/>
      <c r="D29" s="70"/>
      <c r="E29" s="38"/>
      <c r="F29" s="39" t="s">
        <v>24</v>
      </c>
      <c r="G29" s="27">
        <v>0</v>
      </c>
      <c r="H29" s="47">
        <f>SUM(H30:H32)</f>
        <v>0</v>
      </c>
      <c r="I29" s="47">
        <f>SUM(I30:I32)</f>
        <v>0</v>
      </c>
      <c r="J29" s="47">
        <f>SUM(J30:J32)</f>
        <v>0</v>
      </c>
      <c r="K29" s="47">
        <f>SUM(K30:K32)</f>
        <v>0</v>
      </c>
      <c r="L29" s="47">
        <f>SUM(L30:L32)</f>
        <v>0</v>
      </c>
      <c r="M29" s="48">
        <f>+G29-J29</f>
        <v>0</v>
      </c>
    </row>
    <row r="30" spans="2:13" x14ac:dyDescent="0.35">
      <c r="B30" s="28"/>
      <c r="C30" s="57"/>
      <c r="D30" s="58"/>
      <c r="E30" s="57"/>
      <c r="F30" s="58"/>
      <c r="G30" s="27"/>
      <c r="H30" s="30">
        <v>0</v>
      </c>
      <c r="I30" s="30">
        <v>0</v>
      </c>
      <c r="J30" s="22">
        <f t="shared" ref="J30:J36" si="6">+H30+I30</f>
        <v>0</v>
      </c>
      <c r="K30" s="31">
        <v>0</v>
      </c>
      <c r="L30" s="21">
        <f>+J30-K30</f>
        <v>0</v>
      </c>
      <c r="M30" s="67"/>
    </row>
    <row r="31" spans="2:13" x14ac:dyDescent="0.35">
      <c r="B31" s="32"/>
      <c r="C31" s="57"/>
      <c r="D31" s="58"/>
      <c r="E31" s="57"/>
      <c r="F31" s="58"/>
      <c r="G31" s="27"/>
      <c r="H31" s="30">
        <v>0</v>
      </c>
      <c r="I31" s="30">
        <v>0</v>
      </c>
      <c r="J31" s="22">
        <f t="shared" si="6"/>
        <v>0</v>
      </c>
      <c r="K31" s="31">
        <v>0</v>
      </c>
      <c r="L31" s="21">
        <f t="shared" ref="L31:L36" si="7">+J31-K31</f>
        <v>0</v>
      </c>
      <c r="M31" s="68"/>
    </row>
    <row r="32" spans="2:13" x14ac:dyDescent="0.35">
      <c r="B32" s="59"/>
      <c r="C32" s="59"/>
      <c r="D32" s="60"/>
      <c r="E32" s="34"/>
      <c r="F32" s="33"/>
      <c r="G32" s="35"/>
      <c r="H32" s="49">
        <v>0</v>
      </c>
      <c r="I32" s="49">
        <v>0</v>
      </c>
      <c r="J32" s="22">
        <f t="shared" si="6"/>
        <v>0</v>
      </c>
      <c r="K32" s="50">
        <v>0</v>
      </c>
      <c r="L32" s="21">
        <f t="shared" si="7"/>
        <v>0</v>
      </c>
      <c r="M32" s="50"/>
    </row>
    <row r="33" spans="2:13" ht="65.25" customHeight="1" x14ac:dyDescent="0.35">
      <c r="B33" s="69" t="s">
        <v>23</v>
      </c>
      <c r="C33" s="69"/>
      <c r="D33" s="70"/>
      <c r="E33" s="38"/>
      <c r="F33" s="39" t="s">
        <v>24</v>
      </c>
      <c r="G33" s="27">
        <v>0</v>
      </c>
      <c r="H33" s="47">
        <f>SUM(H34:H36)</f>
        <v>0</v>
      </c>
      <c r="I33" s="47">
        <f>SUM(I34:I36)</f>
        <v>0</v>
      </c>
      <c r="J33" s="47">
        <f>SUM(J34:J36)</f>
        <v>0</v>
      </c>
      <c r="K33" s="47">
        <f>SUM(K34:K36)</f>
        <v>0</v>
      </c>
      <c r="L33" s="47">
        <f>SUM(L34:L36)</f>
        <v>0</v>
      </c>
      <c r="M33" s="48">
        <f>+G33-J33</f>
        <v>0</v>
      </c>
    </row>
    <row r="34" spans="2:13" x14ac:dyDescent="0.35">
      <c r="B34" s="28"/>
      <c r="C34" s="57"/>
      <c r="D34" s="58"/>
      <c r="E34" s="57"/>
      <c r="F34" s="58"/>
      <c r="G34" s="27"/>
      <c r="H34" s="30">
        <v>0</v>
      </c>
      <c r="I34" s="30">
        <v>0</v>
      </c>
      <c r="J34" s="22">
        <f t="shared" si="6"/>
        <v>0</v>
      </c>
      <c r="K34" s="31">
        <v>0</v>
      </c>
      <c r="L34" s="21">
        <f t="shared" si="7"/>
        <v>0</v>
      </c>
      <c r="M34" s="67"/>
    </row>
    <row r="35" spans="2:13" x14ac:dyDescent="0.35">
      <c r="B35" s="32"/>
      <c r="C35" s="57"/>
      <c r="D35" s="58"/>
      <c r="E35" s="57"/>
      <c r="F35" s="58"/>
      <c r="G35" s="27"/>
      <c r="H35" s="30">
        <v>0</v>
      </c>
      <c r="I35" s="30">
        <v>0</v>
      </c>
      <c r="J35" s="22">
        <f t="shared" si="6"/>
        <v>0</v>
      </c>
      <c r="K35" s="31">
        <v>0</v>
      </c>
      <c r="L35" s="21">
        <f t="shared" si="7"/>
        <v>0</v>
      </c>
      <c r="M35" s="68"/>
    </row>
    <row r="36" spans="2:13" x14ac:dyDescent="0.35">
      <c r="B36" s="59"/>
      <c r="C36" s="59"/>
      <c r="D36" s="60"/>
      <c r="E36" s="34"/>
      <c r="F36" s="33"/>
      <c r="G36" s="35"/>
      <c r="H36" s="49">
        <v>0</v>
      </c>
      <c r="I36" s="49">
        <v>0</v>
      </c>
      <c r="J36" s="22">
        <f t="shared" si="6"/>
        <v>0</v>
      </c>
      <c r="K36" s="50">
        <v>0</v>
      </c>
      <c r="L36" s="21">
        <f t="shared" si="7"/>
        <v>0</v>
      </c>
      <c r="M36" s="50"/>
    </row>
    <row r="37" spans="2:13" ht="15" thickBot="1" x14ac:dyDescent="0.4"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15.5" thickTop="1" thickBot="1" x14ac:dyDescent="0.4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3"/>
    </row>
    <row r="39" spans="2:13" ht="15.5" thickTop="1" thickBot="1" x14ac:dyDescent="0.4">
      <c r="B39" s="103" t="s">
        <v>25</v>
      </c>
      <c r="C39" s="104"/>
      <c r="D39" s="104"/>
      <c r="E39" s="104"/>
      <c r="F39" s="105"/>
      <c r="G39" s="51">
        <f t="shared" ref="G39:M39" si="8">+G14+G19+G24+G29+G33</f>
        <v>0</v>
      </c>
      <c r="H39" s="51">
        <f t="shared" si="8"/>
        <v>17968429</v>
      </c>
      <c r="I39" s="51">
        <f t="shared" si="8"/>
        <v>2029200</v>
      </c>
      <c r="J39" s="51">
        <f t="shared" si="8"/>
        <v>19997629</v>
      </c>
      <c r="K39" s="51">
        <f t="shared" si="8"/>
        <v>951962</v>
      </c>
      <c r="L39" s="51">
        <f t="shared" si="8"/>
        <v>19045667</v>
      </c>
      <c r="M39" s="51">
        <f t="shared" si="8"/>
        <v>-19997629</v>
      </c>
    </row>
    <row r="40" spans="2:13" x14ac:dyDescent="0.35">
      <c r="B40" s="25"/>
      <c r="C40" s="13"/>
      <c r="D40" s="13"/>
      <c r="E40" s="13"/>
      <c r="F40" s="17"/>
      <c r="G40" s="14"/>
      <c r="H40" s="15"/>
      <c r="I40" s="15"/>
      <c r="J40" s="16"/>
      <c r="K40" s="12"/>
      <c r="L40" s="15"/>
      <c r="M40" s="12"/>
    </row>
    <row r="41" spans="2:13" x14ac:dyDescent="0.35">
      <c r="B41" s="13"/>
      <c r="C41" s="13"/>
      <c r="D41" s="13"/>
      <c r="E41" s="13"/>
      <c r="F41" s="102" t="s">
        <v>26</v>
      </c>
      <c r="G41" s="102"/>
      <c r="H41" s="52">
        <f>+L9</f>
        <v>19997629</v>
      </c>
      <c r="I41" s="15"/>
      <c r="J41" s="16"/>
      <c r="K41" s="13"/>
      <c r="L41" s="15"/>
      <c r="M41" s="13"/>
    </row>
    <row r="42" spans="2:13" x14ac:dyDescent="0.35">
      <c r="B42" s="13"/>
      <c r="C42" s="13"/>
      <c r="D42" s="13"/>
      <c r="E42" s="13"/>
      <c r="F42" s="102" t="s">
        <v>27</v>
      </c>
      <c r="G42" s="102"/>
      <c r="H42" s="53">
        <f>+M39</f>
        <v>-19997629</v>
      </c>
      <c r="I42" s="15"/>
      <c r="J42" s="16"/>
      <c r="K42" s="13"/>
      <c r="L42" s="15"/>
      <c r="M42" s="13"/>
    </row>
    <row r="43" spans="2:13" x14ac:dyDescent="0.35">
      <c r="B43" s="13"/>
      <c r="C43" s="13"/>
      <c r="D43" s="13"/>
      <c r="E43" s="13"/>
      <c r="F43" s="102" t="s">
        <v>28</v>
      </c>
      <c r="G43" s="102"/>
      <c r="H43" s="53">
        <f>+K39</f>
        <v>951962</v>
      </c>
      <c r="I43" s="15"/>
      <c r="J43" s="26"/>
      <c r="K43" s="13"/>
      <c r="L43" s="15"/>
      <c r="M43" s="13"/>
    </row>
    <row r="44" spans="2:13" x14ac:dyDescent="0.35">
      <c r="B44" s="13"/>
      <c r="C44" s="13"/>
      <c r="D44" s="13"/>
      <c r="E44" s="13"/>
      <c r="F44" s="54" t="s">
        <v>29</v>
      </c>
      <c r="G44" s="54"/>
      <c r="H44" s="53">
        <f>+H42+H43</f>
        <v>-19045667</v>
      </c>
      <c r="I44" s="15"/>
      <c r="J44" s="16"/>
      <c r="K44" s="13"/>
      <c r="L44" s="15"/>
      <c r="M44" s="13"/>
    </row>
    <row r="45" spans="2:13" ht="19.5" customHeight="1" thickBot="1" x14ac:dyDescent="0.4">
      <c r="B45" s="5"/>
      <c r="C45" s="107" t="s">
        <v>42</v>
      </c>
      <c r="D45" s="107"/>
      <c r="E45" s="5"/>
      <c r="F45" s="5"/>
      <c r="G45" s="5"/>
      <c r="H45" s="5"/>
      <c r="I45" s="5"/>
      <c r="J45" s="109"/>
      <c r="K45" s="109"/>
      <c r="L45" s="5"/>
      <c r="M45" s="5"/>
    </row>
    <row r="46" spans="2:13" ht="30" customHeight="1" x14ac:dyDescent="0.35">
      <c r="B46" s="5"/>
      <c r="C46" s="106" t="s">
        <v>30</v>
      </c>
      <c r="D46" s="106"/>
      <c r="E46" s="40"/>
      <c r="F46" s="5"/>
      <c r="G46" s="5"/>
      <c r="H46" s="5"/>
      <c r="I46" s="5"/>
      <c r="J46" s="101" t="s">
        <v>31</v>
      </c>
      <c r="K46" s="101"/>
      <c r="L46" s="5"/>
      <c r="M46" s="5"/>
    </row>
    <row r="47" spans="2:13" x14ac:dyDescent="0.35">
      <c r="J47" s="1"/>
    </row>
    <row r="48" spans="2:13" x14ac:dyDescent="0.35"/>
    <row r="49" spans="2:13" ht="15" thickBot="1" x14ac:dyDescent="0.4">
      <c r="B49" s="40" t="s">
        <v>32</v>
      </c>
      <c r="C49" s="108" t="s">
        <v>41</v>
      </c>
      <c r="D49" s="108"/>
    </row>
    <row r="50" spans="2:13" x14ac:dyDescent="0.35">
      <c r="B50" s="18"/>
      <c r="C50" s="18"/>
    </row>
    <row r="51" spans="2:13" x14ac:dyDescent="0.35">
      <c r="B51" s="20" t="s">
        <v>33</v>
      </c>
      <c r="C51" s="20"/>
    </row>
    <row r="52" spans="2:13" x14ac:dyDescent="0.35"/>
    <row r="53" spans="2:13" ht="54.75" customHeight="1" x14ac:dyDescent="0.35">
      <c r="B53" s="97" t="s">
        <v>34</v>
      </c>
      <c r="C53" s="97"/>
      <c r="D53" s="98"/>
      <c r="E53" s="98"/>
      <c r="F53" s="98"/>
      <c r="G53" s="98"/>
      <c r="H53" s="98"/>
      <c r="I53" s="98"/>
      <c r="J53" s="98"/>
      <c r="K53" s="98"/>
      <c r="L53" s="98"/>
      <c r="M53" s="98"/>
    </row>
    <row r="54" spans="2:13" ht="37.5" customHeight="1" x14ac:dyDescent="0.35">
      <c r="B54" s="99" t="s">
        <v>35</v>
      </c>
      <c r="C54" s="99"/>
      <c r="D54" s="100"/>
      <c r="E54" s="100"/>
      <c r="F54" s="100"/>
      <c r="G54" s="100"/>
      <c r="H54" s="100"/>
      <c r="I54" s="100"/>
      <c r="J54" s="100"/>
      <c r="K54" s="100"/>
      <c r="L54" s="100"/>
      <c r="M54" s="100"/>
    </row>
    <row r="55" spans="2:13" x14ac:dyDescent="0.35"/>
    <row r="56" spans="2:13" x14ac:dyDescent="0.35"/>
    <row r="57" spans="2:13" x14ac:dyDescent="0.35"/>
    <row r="58" spans="2:13" x14ac:dyDescent="0.35"/>
    <row r="59" spans="2:13" x14ac:dyDescent="0.35"/>
    <row r="60" spans="2:13" x14ac:dyDescent="0.35"/>
    <row r="61" spans="2:13" x14ac:dyDescent="0.35"/>
    <row r="62" spans="2:13" x14ac:dyDescent="0.35"/>
    <row r="63" spans="2:13" x14ac:dyDescent="0.35"/>
    <row r="64" spans="2:13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</sheetData>
  <sheetProtection algorithmName="SHA-512" hashValue="mceYZHsOE6P1XWeyo+8AyZEmVnv+Jn7dStPvVuu7CtoVznalG2wi44q4qo6EMDVMtB5ztHOHk6SRXDVu01P13Q==" saltValue="9BfJlVCil844feamSfNKBg==" spinCount="100000" sheet="1" formatCells="0" insertRows="0"/>
  <mergeCells count="66">
    <mergeCell ref="E26:F26"/>
    <mergeCell ref="E16:F16"/>
    <mergeCell ref="E17:F17"/>
    <mergeCell ref="E20:F20"/>
    <mergeCell ref="B23:M23"/>
    <mergeCell ref="B24:D24"/>
    <mergeCell ref="C17:D17"/>
    <mergeCell ref="B53:M53"/>
    <mergeCell ref="B54:M54"/>
    <mergeCell ref="J46:K46"/>
    <mergeCell ref="F43:G43"/>
    <mergeCell ref="B39:F39"/>
    <mergeCell ref="F41:G41"/>
    <mergeCell ref="F42:G42"/>
    <mergeCell ref="C46:D46"/>
    <mergeCell ref="C45:D45"/>
    <mergeCell ref="C49:D49"/>
    <mergeCell ref="J45:K45"/>
    <mergeCell ref="C2:K2"/>
    <mergeCell ref="C3:K3"/>
    <mergeCell ref="C4:K5"/>
    <mergeCell ref="C13:D13"/>
    <mergeCell ref="C20:D20"/>
    <mergeCell ref="B19:D19"/>
    <mergeCell ref="C9:H9"/>
    <mergeCell ref="C10:H10"/>
    <mergeCell ref="C11:H11"/>
    <mergeCell ref="B2:B5"/>
    <mergeCell ref="B18:M18"/>
    <mergeCell ref="M15:M17"/>
    <mergeCell ref="L2:M2"/>
    <mergeCell ref="L3:M3"/>
    <mergeCell ref="L5:M5"/>
    <mergeCell ref="L9:M9"/>
    <mergeCell ref="M34:M35"/>
    <mergeCell ref="C35:D35"/>
    <mergeCell ref="L4:M4"/>
    <mergeCell ref="J9:K9"/>
    <mergeCell ref="B14:D14"/>
    <mergeCell ref="C15:D15"/>
    <mergeCell ref="C16:D16"/>
    <mergeCell ref="E13:F13"/>
    <mergeCell ref="E15:F15"/>
    <mergeCell ref="B28:M28"/>
    <mergeCell ref="M20:M22"/>
    <mergeCell ref="C22:D22"/>
    <mergeCell ref="C25:D25"/>
    <mergeCell ref="C26:D26"/>
    <mergeCell ref="E22:F22"/>
    <mergeCell ref="E25:F25"/>
    <mergeCell ref="E35:F35"/>
    <mergeCell ref="B36:D36"/>
    <mergeCell ref="B38:M38"/>
    <mergeCell ref="B37:M37"/>
    <mergeCell ref="M25:M26"/>
    <mergeCell ref="B27:D27"/>
    <mergeCell ref="B32:D32"/>
    <mergeCell ref="B29:D29"/>
    <mergeCell ref="C30:D30"/>
    <mergeCell ref="E30:F30"/>
    <mergeCell ref="M30:M31"/>
    <mergeCell ref="C31:D31"/>
    <mergeCell ref="E31:F31"/>
    <mergeCell ref="B33:D33"/>
    <mergeCell ref="C34:D34"/>
    <mergeCell ref="E34:F34"/>
  </mergeCells>
  <pageMargins left="0.70866141732283472" right="0.70866141732283472" top="0.74803149606299213" bottom="0.74803149606299213" header="0.31496062992125984" footer="0.31496062992125984"/>
  <pageSetup paperSize="41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c9473-b765-42e0-ad82-0023ffd82667">
      <Terms xmlns="http://schemas.microsoft.com/office/infopath/2007/PartnerControls"/>
    </lcf76f155ced4ddcb4097134ff3c332f>
    <TaxCatchAll xmlns="ac57e050-65c1-49ab-ace8-8bd11b57b0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2D631FF675184299E71C0D8EB55A52" ma:contentTypeVersion="15" ma:contentTypeDescription="Create a new document." ma:contentTypeScope="" ma:versionID="882d17cd9a44f6528de3c809a246778d">
  <xsd:schema xmlns:xsd="http://www.w3.org/2001/XMLSchema" xmlns:xs="http://www.w3.org/2001/XMLSchema" xmlns:p="http://schemas.microsoft.com/office/2006/metadata/properties" xmlns:ns2="46dc9473-b765-42e0-ad82-0023ffd82667" xmlns:ns3="ac57e050-65c1-49ab-ace8-8bd11b57b03c" targetNamespace="http://schemas.microsoft.com/office/2006/metadata/properties" ma:root="true" ma:fieldsID="71268eda3c22eb918dc992b2d528dddc" ns2:_="" ns3:_="">
    <xsd:import namespace="46dc9473-b765-42e0-ad82-0023ffd82667"/>
    <xsd:import namespace="ac57e050-65c1-49ab-ace8-8bd11b57b0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c9473-b765-42e0-ad82-0023ffd82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8380da-2275-46ed-84c2-d5695e8e09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7e050-65c1-49ab-ace8-8bd11b57b03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d92bcfe-d2e5-4fab-9a86-ffed9bf18dc8}" ma:internalName="TaxCatchAll" ma:showField="CatchAllData" ma:web="ac57e050-65c1-49ab-ace8-8bd11b57b0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57E79-7EEB-4888-8717-1931716B6C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C53A062-C7AB-4455-BEE0-7CCCE97D89CA}"/>
</file>

<file path=customXml/itemProps3.xml><?xml version="1.0" encoding="utf-8"?>
<ds:datastoreItem xmlns:ds="http://schemas.openxmlformats.org/officeDocument/2006/customXml" ds:itemID="{E580F2CB-081B-42ED-9724-29E80C5460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ANAY PINTO VALENCIA-Analista de procesos</dc:creator>
  <cp:keywords/>
  <dc:description/>
  <cp:lastModifiedBy>CESAR AUGUSTO CASAS DIAZ</cp:lastModifiedBy>
  <cp:revision/>
  <dcterms:created xsi:type="dcterms:W3CDTF">2017-03-03T19:52:54Z</dcterms:created>
  <dcterms:modified xsi:type="dcterms:W3CDTF">2025-05-02T13:06:19Z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0x010100832D631FF675184299E71C0D8EB55A52</vt:lpwstr>
  </property>
</Properties>
</file>